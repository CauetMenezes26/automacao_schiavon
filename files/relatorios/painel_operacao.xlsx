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tacao x Invoice" sheetId="1" state="visible" r:id="rId1"/>
    <sheet name="Divergencias Cotacao x Invoice" sheetId="2" state="visible" r:id="rId2"/>
  </sheets>
  <definedNames>
    <definedName name="_xlnm._FilterDatabase" localSheetId="0" hidden="1">'Cotacao x Invoice'!$A$5:$G$5</definedName>
    <definedName name="_xlnm._FilterDatabase" localSheetId="1" hidden="1">'Divergencias Cotacao x Invoice'!$A$5:$K$5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&quot;$&quot;#,##0.0000"/>
    <numFmt numFmtId="165" formatCode="#,##0.###"/>
    <numFmt numFmtId="166" formatCode="0.0%"/>
    <numFmt numFmtId="167" formatCode="&quot;$&quot;#,##0.00"/>
  </numFmts>
  <fonts count="10">
    <font>
      <name val="Calibri"/>
      <family val="2"/>
      <color theme="1"/>
      <sz val="11"/>
      <scheme val="minor"/>
    </font>
    <font>
      <b val="1"/>
      <color rgb="001F2421"/>
      <sz val="15"/>
    </font>
    <font>
      <color rgb="005B6058"/>
      <sz val="10"/>
    </font>
    <font>
      <i val="1"/>
      <color rgb="005B6058"/>
      <sz val="10"/>
    </font>
    <font>
      <b val="1"/>
      <color rgb="00FFFFFF"/>
      <sz val="10"/>
    </font>
    <font>
      <color rgb="001F2421"/>
      <sz val="10"/>
    </font>
    <font>
      <b val="1"/>
      <color rgb="002F6B4F"/>
      <sz val="10"/>
    </font>
    <font>
      <color rgb="00B4432E"/>
      <sz val="10"/>
    </font>
    <font>
      <b val="1"/>
      <color rgb="00B4432E"/>
      <sz val="10"/>
    </font>
    <font>
      <b val="1"/>
      <color rgb="001F2421"/>
      <sz val="10"/>
    </font>
  </fonts>
  <fills count="5">
    <fill>
      <patternFill/>
    </fill>
    <fill>
      <patternFill patternType="gray125"/>
    </fill>
    <fill>
      <patternFill patternType="solid">
        <fgColor rgb="001E2B3C"/>
      </patternFill>
    </fill>
    <fill>
      <patternFill patternType="solid">
        <fgColor rgb="00E6F0EA"/>
      </patternFill>
    </fill>
    <fill>
      <patternFill patternType="solid">
        <fgColor rgb="00F7E9E5"/>
      </patternFill>
    </fill>
  </fills>
  <borders count="3">
    <border>
      <left/>
      <right/>
      <top/>
      <bottom/>
      <diagonal/>
    </border>
    <border>
      <left style="thin">
        <color rgb="00D8D6CE"/>
      </left>
      <right style="thin">
        <color rgb="00D8D6CE"/>
      </right>
      <top style="thin">
        <color rgb="00D8D6CE"/>
      </top>
      <bottom style="thin">
        <color rgb="00D8D6CE"/>
      </bottom>
    </border>
    <border>
      <top style="thick">
        <color rgb="001E2B3C"/>
      </top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vertical="center" indent="1"/>
    </xf>
    <xf numFmtId="0" fontId="5" fillId="0" borderId="1" applyAlignment="1" pivotButton="0" quotePrefix="0" xfId="0">
      <alignment vertical="center" indent="1"/>
    </xf>
    <xf numFmtId="0" fontId="5" fillId="0" borderId="1" applyAlignment="1" pivotButton="0" quotePrefix="0" xfId="0">
      <alignment vertical="center" wrapText="1" indent="1"/>
    </xf>
    <xf numFmtId="164" fontId="5" fillId="0" borderId="1" applyAlignment="1" pivotButton="0" quotePrefix="0" xfId="0">
      <alignment horizontal="right" vertical="center" indent="1"/>
    </xf>
    <xf numFmtId="0" fontId="6" fillId="3" borderId="1" applyAlignment="1" pivotButton="0" quotePrefix="0" xfId="0">
      <alignment horizontal="center" vertical="center"/>
    </xf>
    <xf numFmtId="165" fontId="5" fillId="0" borderId="1" applyAlignment="1" pivotButton="0" quotePrefix="0" xfId="0">
      <alignment horizontal="right" vertical="center" indent="1"/>
    </xf>
    <xf numFmtId="164" fontId="7" fillId="0" borderId="1" applyAlignment="1" pivotButton="0" quotePrefix="0" xfId="0">
      <alignment horizontal="right" vertical="center" indent="1"/>
    </xf>
    <xf numFmtId="166" fontId="7" fillId="0" borderId="1" applyAlignment="1" pivotButton="0" quotePrefix="0" xfId="0">
      <alignment horizontal="right" vertical="center" indent="1"/>
    </xf>
    <xf numFmtId="167" fontId="7" fillId="0" borderId="1" applyAlignment="1" pivotButton="0" quotePrefix="0" xfId="0">
      <alignment horizontal="right" vertical="center" indent="1"/>
    </xf>
    <xf numFmtId="0" fontId="8" fillId="4" borderId="1" applyAlignment="1" pivotButton="0" quotePrefix="0" xfId="0">
      <alignment horizontal="center" vertical="center"/>
    </xf>
    <xf numFmtId="0" fontId="9" fillId="0" borderId="0" applyAlignment="1" pivotButton="0" quotePrefix="0" xfId="0">
      <alignment horizontal="right" vertical="center" indent="1"/>
    </xf>
    <xf numFmtId="167" fontId="8" fillId="0" borderId="2" applyAlignment="1" pivotButton="0" quotePrefix="0" xfId="0">
      <alignment horizontal="right" vertical="center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4" customWidth="1" min="1" max="1"/>
    <col width="26" customWidth="1" min="2" max="2"/>
    <col width="34" customWidth="1" min="3" max="3"/>
    <col width="15" customWidth="1" min="4" max="4"/>
    <col width="15" customWidth="1" min="5" max="5"/>
    <col width="14" customWidth="1" min="6" max="6"/>
    <col width="20" customWidth="1" min="7" max="7"/>
  </cols>
  <sheetData>
    <row r="1">
      <c r="A1" s="1" t="inlineStr">
        <is>
          <t>RPA Schiavon - Cotacao x Invoice</t>
        </is>
      </c>
    </row>
    <row r="2">
      <c r="A2" s="2" t="inlineStr">
        <is>
          <t>Semana 07/09 a 13/09  -  gerado em 09/09/2026 15:40</t>
        </is>
      </c>
    </row>
    <row r="3">
      <c r="A3" s="3" t="inlineStr">
        <is>
          <t>Itens que conciliaram - preco dentro da tolerancia, com o arquivo de origem.</t>
        </is>
      </c>
    </row>
    <row r="5" ht="20" customHeight="1">
      <c r="A5" s="4" t="inlineStr">
        <is>
          <t>Arquivo</t>
        </is>
      </c>
      <c r="B5" s="4" t="inlineStr">
        <is>
          <t>Fornecedor</t>
        </is>
      </c>
      <c r="C5" s="4" t="inlineStr">
        <is>
          <t>Item</t>
        </is>
      </c>
      <c r="D5" s="4" t="inlineStr">
        <is>
          <t>Preco invoice</t>
        </is>
      </c>
      <c r="E5" s="4" t="inlineStr">
        <is>
          <t>Preco cotado</t>
        </is>
      </c>
      <c r="F5" s="4" t="inlineStr">
        <is>
          <t>Diferenca</t>
        </is>
      </c>
      <c r="G5" s="4" t="inlineStr">
        <is>
          <t>Status</t>
        </is>
      </c>
    </row>
    <row r="6">
      <c r="A6" s="5" t="inlineStr">
        <is>
          <t>drphil_Eastern_50216__001_26-06-2026.pdf</t>
        </is>
      </c>
      <c r="B6" s="5" t="inlineStr">
        <is>
          <t>Eastern Quality Foods</t>
        </is>
      </c>
      <c r="C6" s="6" t="inlineStr">
        <is>
          <t>Beef, Chuck Roll 'Neck Off' Boneless (1100) - FROZEN - ON SPECIAL WK 26</t>
        </is>
      </c>
      <c r="D6" s="7" t="n">
        <v>4.99</v>
      </c>
      <c r="E6" s="7" t="n">
        <v>4.99</v>
      </c>
      <c r="F6" s="7" t="n">
        <v>0</v>
      </c>
      <c r="G6" s="8" t="inlineStr">
        <is>
          <t>Conciliado</t>
        </is>
      </c>
    </row>
    <row r="7">
      <c r="A7" s="5" t="inlineStr">
        <is>
          <t>drphil_Eastern_50216__001_26-06-2026.pdf</t>
        </is>
      </c>
      <c r="B7" s="5" t="inlineStr">
        <is>
          <t>Eastern Quality Foods</t>
        </is>
      </c>
      <c r="C7" s="6" t="inlineStr">
        <is>
          <t>Beef, Coulotte 'Picanha' (031383)</t>
        </is>
      </c>
      <c r="D7" s="7" t="n">
        <v>8.09</v>
      </c>
      <c r="E7" s="7" t="n">
        <v>8.09</v>
      </c>
      <c r="F7" s="7" t="n">
        <v>0</v>
      </c>
      <c r="G7" s="8" t="inlineStr">
        <is>
          <t>Conciliado</t>
        </is>
      </c>
    </row>
    <row r="8">
      <c r="A8" s="5" t="inlineStr">
        <is>
          <t>drphil_Eastern_50216__001_26-06-2026.pdf</t>
        </is>
      </c>
      <c r="B8" s="5" t="inlineStr">
        <is>
          <t>Eastern Quality Foods</t>
        </is>
      </c>
      <c r="C8" s="6" t="inlineStr">
        <is>
          <t>Beef, Coulotte 'Picanha' Single Pack - 1PC (21746)</t>
        </is>
      </c>
      <c r="D8" s="7" t="n">
        <v>8.390000000000001</v>
      </c>
      <c r="E8" s="7" t="n">
        <v>8.390000000000001</v>
      </c>
      <c r="F8" s="7" t="n">
        <v>0</v>
      </c>
      <c r="G8" s="8" t="inlineStr">
        <is>
          <t>Conciliado</t>
        </is>
      </c>
    </row>
    <row r="9">
      <c r="A9" s="5" t="inlineStr">
        <is>
          <t>drphil_Eastern_50216__001_26-06-2026.pdf</t>
        </is>
      </c>
      <c r="B9" s="5" t="inlineStr">
        <is>
          <t>Eastern Quality Foods</t>
        </is>
      </c>
      <c r="C9" s="6" t="inlineStr">
        <is>
          <t>Beef, Liver (94710)</t>
        </is>
      </c>
      <c r="D9" s="7" t="n">
        <v>1.39</v>
      </c>
      <c r="E9" s="7" t="n">
        <v>1.39</v>
      </c>
      <c r="F9" s="7" t="n">
        <v>0</v>
      </c>
      <c r="G9" s="8" t="inlineStr">
        <is>
          <t>Conciliado</t>
        </is>
      </c>
    </row>
    <row r="10">
      <c r="A10" s="5" t="inlineStr">
        <is>
          <t>drphil_Eastern_50216__001_26-06-2026.pdf</t>
        </is>
      </c>
      <c r="B10" s="5" t="inlineStr">
        <is>
          <t>Eastern Quality Foods</t>
        </is>
      </c>
      <c r="C10" s="6" t="inlineStr">
        <is>
          <t>Beef, Peeled Knuckle (3230)</t>
        </is>
      </c>
      <c r="D10" s="7" t="n">
        <v>4.59</v>
      </c>
      <c r="E10" s="7" t="n">
        <v>4.59</v>
      </c>
      <c r="F10" s="7" t="n">
        <v>0</v>
      </c>
      <c r="G10" s="8" t="inlineStr">
        <is>
          <t>Conciliado</t>
        </is>
      </c>
    </row>
    <row r="11">
      <c r="A11" s="5" t="inlineStr">
        <is>
          <t>drphil_Prime Meats_1175605__001_19-06-2026.pdf</t>
        </is>
      </c>
      <c r="B11" s="5" t="inlineStr">
        <is>
          <t>Prime Meats</t>
        </is>
      </c>
      <c r="C11" s="6" t="inlineStr">
        <is>
          <t>BF B/L BANANA SHANK GEN FZN 45# CS - WEIGHTS: 45.02</t>
        </is>
      </c>
      <c r="D11" s="7" t="n">
        <v>4.89</v>
      </c>
      <c r="E11" s="7" t="n">
        <v>4.89</v>
      </c>
      <c r="F11" s="7" t="n">
        <v>0</v>
      </c>
      <c r="G11" s="8" t="inlineStr">
        <is>
          <t>Conciliado</t>
        </is>
      </c>
    </row>
    <row r="12">
      <c r="A12" s="5" t="inlineStr">
        <is>
          <t>drphil_Prime Meats_1175605__001_19-06-2026.pdf</t>
        </is>
      </c>
      <c r="B12" s="5" t="inlineStr">
        <is>
          <t>Prime Meats</t>
        </is>
      </c>
      <c r="C12" s="6" t="inlineStr">
        <is>
          <t>BF PICANA GEN CH 1 PC BAG 65# CS - WEIGHTS: 71.50/73.80</t>
        </is>
      </c>
      <c r="D12" s="7" t="n">
        <v>8.19</v>
      </c>
      <c r="E12" s="7" t="n">
        <v>8.19</v>
      </c>
      <c r="F12" s="7" t="n">
        <v>0</v>
      </c>
      <c r="G12" s="8" t="inlineStr">
        <is>
          <t>Conciliado</t>
        </is>
      </c>
    </row>
    <row r="13">
      <c r="A13" s="5" t="inlineStr">
        <is>
          <t>drphil_Prime Meats_1175605__001_19-06-2026.pdf</t>
        </is>
      </c>
      <c r="B13" s="5" t="inlineStr">
        <is>
          <t>Prime Meats</t>
        </is>
      </c>
      <c r="C13" s="6" t="inlineStr">
        <is>
          <t>BF PICANA SEL GEN FRSH 65# CS - WEIGHTS: 73.70/78.80/77.50/65.80/73.60/58.40/73.80</t>
        </is>
      </c>
      <c r="D13" s="7" t="n">
        <v>7.99</v>
      </c>
      <c r="E13" s="7" t="n">
        <v>7.99</v>
      </c>
      <c r="F13" s="7" t="n">
        <v>0</v>
      </c>
      <c r="G13" s="8" t="inlineStr">
        <is>
          <t>Conciliado</t>
        </is>
      </c>
    </row>
    <row r="14">
      <c r="A14" s="5" t="inlineStr">
        <is>
          <t>drphil_Prime Meats_1175605__001_19-06-2026.pdf</t>
        </is>
      </c>
      <c r="B14" s="5" t="inlineStr">
        <is>
          <t>Prime Meats</t>
        </is>
      </c>
      <c r="C14" s="6" t="inlineStr">
        <is>
          <t>CHKN BREAST BL/SL DRY GEN FZN 40# CS</t>
        </is>
      </c>
      <c r="D14" s="7" t="n">
        <v>1.41</v>
      </c>
      <c r="E14" s="7" t="n">
        <v>1.41</v>
      </c>
      <c r="F14" s="7" t="n">
        <v>0</v>
      </c>
      <c r="G14" s="8" t="inlineStr">
        <is>
          <t>Conciliado</t>
        </is>
      </c>
    </row>
    <row r="15">
      <c r="A15" s="5" t="inlineStr">
        <is>
          <t>drphil_Prime Meats_1175605__001_19-06-2026.pdf</t>
        </is>
      </c>
      <c r="B15" s="5" t="inlineStr">
        <is>
          <t>Prime Meats</t>
        </is>
      </c>
      <c r="C15" s="6" t="inlineStr">
        <is>
          <t>CHKN BREAST BL/SL UNSIZED DRY GEN FRSH CVP 4/10# 40# CS</t>
        </is>
      </c>
      <c r="D15" s="7" t="n">
        <v>1.48</v>
      </c>
      <c r="E15" s="7" t="n">
        <v>1.48</v>
      </c>
      <c r="F15" s="7" t="n">
        <v>0</v>
      </c>
      <c r="G15" s="8" t="inlineStr">
        <is>
          <t>Conciliado</t>
        </is>
      </c>
    </row>
    <row r="16">
      <c r="A16" s="5" t="inlineStr">
        <is>
          <t>drphil_Prime Meats_1175605__001_19-06-2026.pdf</t>
        </is>
      </c>
      <c r="B16" s="5" t="inlineStr">
        <is>
          <t>Prime Meats</t>
        </is>
      </c>
      <c r="C16" s="6" t="inlineStr">
        <is>
          <t>CHKN CUT WINGS 1&amp;2 JNT GEN FRSH 5-8 PCS/LB 40# CS</t>
        </is>
      </c>
      <c r="D16" s="7" t="n">
        <v>1.25</v>
      </c>
      <c r="E16" s="7" t="n">
        <v>1.25</v>
      </c>
      <c r="F16" s="7" t="n">
        <v>0</v>
      </c>
      <c r="G16" s="8" t="inlineStr">
        <is>
          <t>Conciliado</t>
        </is>
      </c>
    </row>
    <row r="17">
      <c r="A17" s="5" t="inlineStr">
        <is>
          <t>drphil_Prime Meats_1175605__001_19-06-2026.pdf</t>
        </is>
      </c>
      <c r="B17" s="5" t="inlineStr">
        <is>
          <t>Prime Meats</t>
        </is>
      </c>
      <c r="C17" s="6" t="inlineStr">
        <is>
          <t>CHKN HEARTS S/MTN FZN #20 4/5# CS</t>
        </is>
      </c>
      <c r="D17" s="7" t="n">
        <v>1.69</v>
      </c>
      <c r="E17" s="7" t="n">
        <v>1.69</v>
      </c>
      <c r="F17" s="7" t="n">
        <v>0</v>
      </c>
      <c r="G17" s="8" t="inlineStr">
        <is>
          <t>Conciliado</t>
        </is>
      </c>
    </row>
    <row r="18">
      <c r="A18" s="5" t="inlineStr">
        <is>
          <t>drphil_Prime Meats_1175605__001_19-06-2026.pdf</t>
        </is>
      </c>
      <c r="B18" s="5" t="inlineStr">
        <is>
          <t>Prime Meats</t>
        </is>
      </c>
      <c r="C18" s="6" t="inlineStr">
        <is>
          <t>CHKN LIVER GEN FZN 20# CS</t>
        </is>
      </c>
      <c r="D18" s="7" t="n">
        <v>1.29</v>
      </c>
      <c r="E18" s="7" t="n">
        <v>1.29</v>
      </c>
      <c r="F18" s="7" t="n">
        <v>0</v>
      </c>
      <c r="G18" s="8" t="inlineStr">
        <is>
          <t>Conciliado</t>
        </is>
      </c>
    </row>
    <row r="19">
      <c r="A19" s="5" t="inlineStr">
        <is>
          <t>drphil_Prime Meats_1175605__001_19-06-2026.pdf</t>
        </is>
      </c>
      <c r="B19" s="5" t="inlineStr">
        <is>
          <t>Prime Meats</t>
        </is>
      </c>
      <c r="C19" s="6" t="inlineStr">
        <is>
          <t>CHKN TENDERLOIN JUMBO GEN FZN 40# CS</t>
        </is>
      </c>
      <c r="D19" s="7" t="n">
        <v>1.93</v>
      </c>
      <c r="E19" s="7" t="n">
        <v>1.93</v>
      </c>
      <c r="F19" s="7" t="n">
        <v>0</v>
      </c>
      <c r="G19" s="8" t="inlineStr">
        <is>
          <t>Conciliado</t>
        </is>
      </c>
    </row>
  </sheetData>
  <autoFilter ref="A5:G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4" customWidth="1" min="1" max="1"/>
    <col width="26" customWidth="1" min="2" max="2"/>
    <col width="30" customWidth="1" min="3" max="3"/>
    <col width="30" customWidth="1" min="4" max="4"/>
    <col width="10" customWidth="1" min="5" max="5"/>
    <col width="15" customWidth="1" min="6" max="6"/>
    <col width="15" customWidth="1" min="7" max="7"/>
    <col width="14" customWidth="1" min="8" max="8"/>
    <col width="10" customWidth="1" min="9" max="9"/>
    <col width="16" customWidth="1" min="10" max="10"/>
    <col width="28" customWidth="1" min="11" max="11"/>
  </cols>
  <sheetData>
    <row r="1">
      <c r="A1" s="1" t="inlineStr">
        <is>
          <t>RPA Schiavon - Divergencias Cotacao x Invoice</t>
        </is>
      </c>
    </row>
    <row r="2">
      <c r="A2" s="2" t="inlineStr">
        <is>
          <t>Semana 07/09 a 13/09  -  gerado em 09/09/2026 15:40</t>
        </is>
      </c>
    </row>
    <row r="3">
      <c r="A3" s="3" t="inlineStr">
        <is>
          <t>Preco fora da tolerancia e item sem comparacao - maior impacto primeiro.</t>
        </is>
      </c>
    </row>
    <row r="5" ht="20" customHeight="1">
      <c r="A5" s="4" t="inlineStr">
        <is>
          <t>Arquivo</t>
        </is>
      </c>
      <c r="B5" s="4" t="inlineStr">
        <is>
          <t>Fornecedor</t>
        </is>
      </c>
      <c r="C5" s="4" t="inlineStr">
        <is>
          <t>Item na invoice</t>
        </is>
      </c>
      <c r="D5" s="4" t="inlineStr">
        <is>
          <t>Item cotado</t>
        </is>
      </c>
      <c r="E5" s="4" t="inlineStr">
        <is>
          <t>Qtd</t>
        </is>
      </c>
      <c r="F5" s="4" t="inlineStr">
        <is>
          <t>Preco invoice</t>
        </is>
      </c>
      <c r="G5" s="4" t="inlineStr">
        <is>
          <t>Preco cotado</t>
        </is>
      </c>
      <c r="H5" s="4" t="inlineStr">
        <is>
          <t>Dif. unitaria</t>
        </is>
      </c>
      <c r="I5" s="4" t="inlineStr">
        <is>
          <t>Dif. %</t>
        </is>
      </c>
      <c r="J5" s="4" t="inlineStr">
        <is>
          <t>Impacto (dif. x qtd)</t>
        </is>
      </c>
      <c r="K5" s="4" t="inlineStr">
        <is>
          <t>Motivo</t>
        </is>
      </c>
    </row>
    <row r="6">
      <c r="A6" s="5" t="inlineStr">
        <is>
          <t>drphil_Eastern_50216__001_26-06-2026.pdf</t>
        </is>
      </c>
      <c r="B6" s="5" t="inlineStr">
        <is>
          <t>Eastern Quality Foods</t>
        </is>
      </c>
      <c r="C6" s="6" t="inlineStr">
        <is>
          <t>Beef, Tri-Tip (00953)</t>
        </is>
      </c>
      <c r="D6" s="6" t="inlineStr">
        <is>
          <t>Beef, Tri-Tio</t>
        </is>
      </c>
      <c r="E6" s="9" t="n">
        <v>2</v>
      </c>
      <c r="F6" s="7" t="n">
        <v>4.59</v>
      </c>
      <c r="G6" s="7" t="n">
        <v>5</v>
      </c>
      <c r="H6" s="10" t="n">
        <v>-0.41</v>
      </c>
      <c r="I6" s="11" t="n">
        <v>-0.08199999999999999</v>
      </c>
      <c r="J6" s="12" t="n">
        <v>-0.82</v>
      </c>
      <c r="K6" s="13" t="inlineStr">
        <is>
          <t>Abaixo do cotado</t>
        </is>
      </c>
    </row>
    <row r="7">
      <c r="I7" s="14" t="inlineStr">
        <is>
          <t>1 divergencia(s)</t>
        </is>
      </c>
      <c r="J7" s="15">
        <f>SUM(J6:J6)</f>
        <v/>
      </c>
    </row>
  </sheetData>
  <autoFilter ref="A5:K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2026-09-09T18:40:49Z</dcterms:created>
  <dcterms:modified xsi:type="dcterms:W3CDTF">2026-09-09T18:40:49Z</dcterms:modified>
</cp:coreProperties>
</file>